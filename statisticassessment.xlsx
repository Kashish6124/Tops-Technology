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TOPS\Statistic\Assignment\"/>
    </mc:Choice>
  </mc:AlternateContent>
  <xr:revisionPtr revIDLastSave="0" documentId="13_ncr:1_{F70EB42C-F1C9-4BC0-B5A5-7E839677A686}" xr6:coauthVersionLast="47" xr6:coauthVersionMax="47" xr10:uidLastSave="{00000000-0000-0000-0000-000000000000}"/>
  <bookViews>
    <workbookView xWindow="-108" yWindow="-108" windowWidth="23256" windowHeight="12456" xr2:uid="{CF7ADC04-7406-402C-BAED-837BE8D16D27}"/>
  </bookViews>
  <sheets>
    <sheet name="Q1" sheetId="1" r:id="rId1"/>
    <sheet name="Q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2" l="1"/>
  <c r="B12" i="2"/>
  <c r="B10" i="2"/>
  <c r="B8" i="2"/>
  <c r="B7" i="2"/>
  <c r="B6" i="2"/>
  <c r="H3" i="2"/>
  <c r="H2" i="2"/>
  <c r="G3" i="2"/>
  <c r="G2" i="2"/>
  <c r="E2" i="2"/>
  <c r="F3" i="2"/>
  <c r="F2" i="2"/>
  <c r="E3" i="2"/>
  <c r="D4" i="2"/>
  <c r="C4" i="2"/>
  <c r="B4" i="2"/>
  <c r="D3" i="2"/>
  <c r="D2" i="2"/>
  <c r="B7" i="1"/>
  <c r="B6" i="1"/>
  <c r="B5" i="1"/>
</calcChain>
</file>

<file path=xl/sharedStrings.xml><?xml version="1.0" encoding="utf-8"?>
<sst xmlns="http://schemas.openxmlformats.org/spreadsheetml/2006/main" count="29" uniqueCount="28">
  <si>
    <t>Group</t>
  </si>
  <si>
    <t>Girls</t>
  </si>
  <si>
    <t>Boys</t>
  </si>
  <si>
    <t>Mean</t>
  </si>
  <si>
    <t>SD</t>
  </si>
  <si>
    <t>n</t>
  </si>
  <si>
    <t>t_stat</t>
  </si>
  <si>
    <t>df</t>
  </si>
  <si>
    <t>p_two</t>
  </si>
  <si>
    <t>conclusion</t>
  </si>
  <si>
    <r>
      <t xml:space="preserve">There is a </t>
    </r>
    <r>
      <rPr>
        <b/>
        <sz val="11"/>
        <color theme="1"/>
        <rFont val="Calibri"/>
        <family val="2"/>
        <scheme val="minor"/>
      </rPr>
      <t>significant difference</t>
    </r>
    <r>
      <rPr>
        <sz val="11"/>
        <color theme="1"/>
        <rFont val="Calibri"/>
        <family val="2"/>
        <scheme val="minor"/>
      </rPr>
      <t xml:space="preserve"> between the mean intelligence scores of girls and boys.</t>
    </r>
  </si>
  <si>
    <r>
      <t xml:space="preserve">Girls have a </t>
    </r>
    <r>
      <rPr>
        <b/>
        <sz val="11"/>
        <color theme="1"/>
        <rFont val="Calibri"/>
        <family val="2"/>
        <scheme val="minor"/>
      </rPr>
      <t>significantly higher mean score</t>
    </r>
    <r>
      <rPr>
        <sz val="11"/>
        <color theme="1"/>
        <rFont val="Calibri"/>
        <family val="2"/>
        <scheme val="minor"/>
      </rPr>
      <t xml:space="preserve"> (89) compared to boys (82).</t>
    </r>
  </si>
  <si>
    <t>Status</t>
  </si>
  <si>
    <t>Diagnosed</t>
  </si>
  <si>
    <t>Without</t>
  </si>
  <si>
    <t>RowTotal</t>
  </si>
  <si>
    <t>Smoker</t>
  </si>
  <si>
    <t>Non smokers</t>
  </si>
  <si>
    <t>col total</t>
  </si>
  <si>
    <t>Expected Diagnosed</t>
  </si>
  <si>
    <t>Exp_without</t>
  </si>
  <si>
    <t>Contrib_Diag</t>
  </si>
  <si>
    <t>contrib_without</t>
  </si>
  <si>
    <t xml:space="preserve"> ChiSquare</t>
  </si>
  <si>
    <t>p_value</t>
  </si>
  <si>
    <t xml:space="preserve">p_CHISQ_TEST </t>
  </si>
  <si>
    <t xml:space="preserve">Prop_Smokers_Diag  </t>
  </si>
  <si>
    <t>Prop_NonSmokers_Diag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</si>
</sst>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430161</xdr:colOff>
      <xdr:row>0</xdr:row>
      <xdr:rowOff>196645</xdr:rowOff>
    </xdr:from>
    <xdr:to>
      <xdr:col>21</xdr:col>
      <xdr:colOff>393291</xdr:colOff>
      <xdr:row>8</xdr:row>
      <xdr:rowOff>172063</xdr:rowOff>
    </xdr:to>
    <xdr:sp macro="" textlink="">
      <xdr:nvSpPr>
        <xdr:cNvPr id="2" name="TextBox 1">
          <a:extLst>
            <a:ext uri="{FF2B5EF4-FFF2-40B4-BE49-F238E27FC236}">
              <a16:creationId xmlns:a16="http://schemas.microsoft.com/office/drawing/2014/main" id="{CECE10F7-95C7-0B20-64CD-9CC78EB75364}"/>
            </a:ext>
          </a:extLst>
        </xdr:cNvPr>
        <xdr:cNvSpPr txBox="1"/>
      </xdr:nvSpPr>
      <xdr:spPr>
        <a:xfrm>
          <a:off x="7361903" y="196645"/>
          <a:ext cx="6722807" cy="1597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Question 1. There is an assumption that there is no significant difference between boys and girls with respect to intelligence. Tests are conducted on two groups and the following are the observations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6</xdr:row>
      <xdr:rowOff>60960</xdr:rowOff>
    </xdr:from>
    <xdr:to>
      <xdr:col>8</xdr:col>
      <xdr:colOff>533400</xdr:colOff>
      <xdr:row>10</xdr:row>
      <xdr:rowOff>152400</xdr:rowOff>
    </xdr:to>
    <xdr:sp macro="" textlink="">
      <xdr:nvSpPr>
        <xdr:cNvPr id="2" name="TextBox 1">
          <a:extLst>
            <a:ext uri="{FF2B5EF4-FFF2-40B4-BE49-F238E27FC236}">
              <a16:creationId xmlns:a16="http://schemas.microsoft.com/office/drawing/2014/main" id="{21B5794D-30FE-4624-D709-2DB2F0F3A00C}"/>
            </a:ext>
          </a:extLst>
        </xdr:cNvPr>
        <xdr:cNvSpPr txBox="1"/>
      </xdr:nvSpPr>
      <xdr:spPr>
        <a:xfrm>
          <a:off x="2903220" y="1158240"/>
          <a:ext cx="479298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Question 2. Analyze the below data and tell whether you can conclude that smoking causes cancer or not?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4FACF-FDF7-46DE-AB41-3B2A17CE0083}">
  <dimension ref="A1:AB11"/>
  <sheetViews>
    <sheetView tabSelected="1" zoomScale="77" zoomScaleNormal="62" workbookViewId="0">
      <selection activeCell="F19" sqref="F19"/>
    </sheetView>
  </sheetViews>
  <sheetFormatPr defaultRowHeight="14.4" x14ac:dyDescent="0.3"/>
  <cols>
    <col min="1" max="1" width="13.109375" customWidth="1"/>
    <col min="2" max="2" width="16.33203125" bestFit="1" customWidth="1"/>
    <col min="3" max="4" width="9" bestFit="1" customWidth="1"/>
  </cols>
  <sheetData>
    <row r="1" spans="1:28" ht="25.8" x14ac:dyDescent="0.5">
      <c r="A1" t="s">
        <v>0</v>
      </c>
      <c r="B1" t="s">
        <v>3</v>
      </c>
      <c r="C1" t="s">
        <v>4</v>
      </c>
      <c r="D1" t="s">
        <v>5</v>
      </c>
      <c r="J1" s="1"/>
      <c r="K1" s="1"/>
      <c r="L1" s="1"/>
      <c r="M1" s="1"/>
      <c r="N1" s="1"/>
      <c r="O1" s="1"/>
      <c r="P1" s="1"/>
      <c r="Q1" s="1"/>
      <c r="R1" s="1"/>
      <c r="S1" s="1"/>
      <c r="T1" s="1"/>
      <c r="U1" s="1"/>
      <c r="V1" s="1"/>
      <c r="W1" s="1"/>
      <c r="X1" s="1"/>
      <c r="Y1" s="1"/>
      <c r="Z1" s="1"/>
      <c r="AA1" s="1"/>
      <c r="AB1" s="1"/>
    </row>
    <row r="2" spans="1:28" x14ac:dyDescent="0.3">
      <c r="A2" t="s">
        <v>1</v>
      </c>
      <c r="B2">
        <v>89</v>
      </c>
      <c r="C2">
        <v>4</v>
      </c>
      <c r="D2">
        <v>50</v>
      </c>
    </row>
    <row r="3" spans="1:28" x14ac:dyDescent="0.3">
      <c r="A3" t="s">
        <v>2</v>
      </c>
      <c r="B3">
        <v>82</v>
      </c>
      <c r="C3">
        <v>9</v>
      </c>
      <c r="D3">
        <v>120</v>
      </c>
    </row>
    <row r="5" spans="1:28" x14ac:dyDescent="0.3">
      <c r="A5" t="s">
        <v>6</v>
      </c>
      <c r="B5">
        <f>(B2 - B3) / SQRT( (C2^2)/D2 + (C3^2)/D3 )</f>
        <v>7.0175658996391963</v>
      </c>
    </row>
    <row r="6" spans="1:28" x14ac:dyDescent="0.3">
      <c r="A6" t="s">
        <v>7</v>
      </c>
      <c r="B6">
        <f>((C2^2/D2 + C3^2/D3)^2) / ( (C2^4)/(D2^2*(D2-1)) + (C3^4)/(D3^2*(D3-1)) )</f>
        <v>167.27414848357313</v>
      </c>
    </row>
    <row r="7" spans="1:28" x14ac:dyDescent="0.3">
      <c r="A7" t="s">
        <v>8</v>
      </c>
      <c r="B7">
        <f>_xlfn.T.DIST.2T(ABS(B5), B6)</f>
        <v>5.3891590485382579E-11</v>
      </c>
    </row>
    <row r="8" spans="1:28" x14ac:dyDescent="0.3">
      <c r="A8" t="s">
        <v>9</v>
      </c>
    </row>
    <row r="10" spans="1:28" x14ac:dyDescent="0.3">
      <c r="A10" t="s">
        <v>10</v>
      </c>
    </row>
    <row r="11" spans="1:28" x14ac:dyDescent="0.3">
      <c r="A11" t="s">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F1857-A50A-4281-B504-1D3D4F8146CC}">
  <dimension ref="A1:H13"/>
  <sheetViews>
    <sheetView workbookViewId="0">
      <selection activeCell="E13" sqref="E13"/>
    </sheetView>
  </sheetViews>
  <sheetFormatPr defaultRowHeight="14.4" x14ac:dyDescent="0.3"/>
  <cols>
    <col min="1" max="1" width="20.33203125" customWidth="1"/>
    <col min="2" max="2" width="11" bestFit="1" customWidth="1"/>
    <col min="5" max="5" width="17.88671875" customWidth="1"/>
    <col min="6" max="6" width="11.21875" bestFit="1" customWidth="1"/>
    <col min="7" max="7" width="11.5546875" bestFit="1" customWidth="1"/>
    <col min="8" max="8" width="14.6640625" customWidth="1"/>
  </cols>
  <sheetData>
    <row r="1" spans="1:8" x14ac:dyDescent="0.3">
      <c r="A1" t="s">
        <v>12</v>
      </c>
      <c r="B1" t="s">
        <v>13</v>
      </c>
      <c r="C1" t="s">
        <v>14</v>
      </c>
      <c r="D1" t="s">
        <v>15</v>
      </c>
      <c r="E1" t="s">
        <v>19</v>
      </c>
      <c r="F1" t="s">
        <v>20</v>
      </c>
      <c r="G1" t="s">
        <v>21</v>
      </c>
      <c r="H1" t="s">
        <v>22</v>
      </c>
    </row>
    <row r="2" spans="1:8" x14ac:dyDescent="0.3">
      <c r="A2" t="s">
        <v>16</v>
      </c>
      <c r="B2">
        <v>220</v>
      </c>
      <c r="C2">
        <v>230</v>
      </c>
      <c r="D2">
        <f>B2+C2</f>
        <v>450</v>
      </c>
      <c r="E2">
        <f>D2*$B$4/$D$4</f>
        <v>178.125</v>
      </c>
      <c r="F2">
        <f>D2*$C$4/$D$4</f>
        <v>271.875</v>
      </c>
      <c r="G2">
        <f>(B2-E2)^2 / E2</f>
        <v>9.8442982456140342</v>
      </c>
      <c r="H2">
        <f>(C2-F2)^2 / F2</f>
        <v>6.4497126436781613</v>
      </c>
    </row>
    <row r="3" spans="1:8" x14ac:dyDescent="0.3">
      <c r="A3" t="s">
        <v>17</v>
      </c>
      <c r="B3">
        <v>350</v>
      </c>
      <c r="C3">
        <v>640</v>
      </c>
      <c r="D3">
        <f>B3+C3</f>
        <v>990</v>
      </c>
      <c r="E3">
        <f>D3*$B$4/$D$4</f>
        <v>391.875</v>
      </c>
      <c r="F3">
        <f>D3*$C$4/$D$4</f>
        <v>598.125</v>
      </c>
      <c r="G3">
        <f>(B3-E3)^2 / E3</f>
        <v>4.4746810207336525</v>
      </c>
      <c r="H3">
        <f>(C3-F3)^2 / F3</f>
        <v>2.931687565308255</v>
      </c>
    </row>
    <row r="4" spans="1:8" x14ac:dyDescent="0.3">
      <c r="A4" t="s">
        <v>18</v>
      </c>
      <c r="B4">
        <f>B2+B3</f>
        <v>570</v>
      </c>
      <c r="C4">
        <f>C2+C3</f>
        <v>870</v>
      </c>
      <c r="D4">
        <f>D2+D3</f>
        <v>1440</v>
      </c>
    </row>
    <row r="6" spans="1:8" x14ac:dyDescent="0.3">
      <c r="A6" t="s">
        <v>23</v>
      </c>
      <c r="B6">
        <f>SUM(G2:H3)</f>
        <v>23.700379475334103</v>
      </c>
    </row>
    <row r="7" spans="1:8" x14ac:dyDescent="0.3">
      <c r="A7" t="s">
        <v>7</v>
      </c>
      <c r="B7">
        <f>1</f>
        <v>1</v>
      </c>
    </row>
    <row r="8" spans="1:8" x14ac:dyDescent="0.3">
      <c r="A8" t="s">
        <v>24</v>
      </c>
      <c r="B8">
        <f>_xlfn.CHISQ.DIST.RT(B6, B7)</f>
        <v>1.1256033979815032E-6</v>
      </c>
    </row>
    <row r="10" spans="1:8" x14ac:dyDescent="0.3">
      <c r="A10" t="s">
        <v>25</v>
      </c>
      <c r="B10">
        <f>_xlfn.CHISQ.TEST(B2:C3, E2:F3)</f>
        <v>1.1256033979815032E-6</v>
      </c>
    </row>
    <row r="12" spans="1:8" x14ac:dyDescent="0.3">
      <c r="A12" t="s">
        <v>26</v>
      </c>
      <c r="B12">
        <f>B2/D2</f>
        <v>0.48888888888888887</v>
      </c>
    </row>
    <row r="13" spans="1:8" x14ac:dyDescent="0.3">
      <c r="A13" t="s">
        <v>27</v>
      </c>
      <c r="B13">
        <f>B3/D3</f>
        <v>0.35353535353535354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Q1</vt:lpstr>
      <vt:lpst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 shah</dc:creator>
  <cp:lastModifiedBy>Kashish shah</cp:lastModifiedBy>
  <dcterms:created xsi:type="dcterms:W3CDTF">2025-12-10T17:58:52Z</dcterms:created>
  <dcterms:modified xsi:type="dcterms:W3CDTF">2025-12-10T18:51:50Z</dcterms:modified>
</cp:coreProperties>
</file>